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Estimate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Setup" sheetId="4" state="visible" r:id="rId4"/>
    <sheet xmlns:r="http://schemas.openxmlformats.org/officeDocument/2006/relationships" name="How To Use" sheetId="5" state="visible" r:id="rId5"/>
    <sheet xmlns:r="http://schemas.openxmlformats.org/officeDocument/2006/relationships" name="Ready-made for your trade" sheetId="6" state="visible" r:id="rId6"/>
  </sheets>
  <definedNames>
    <definedName name="ServiceList">Services!$B$6:$B$40</definedName>
    <definedName name="ServiceTable">Services!$B$6:$E$40</definedName>
    <definedName name="_xlnm.Print_Area" localSheetId="0">'Invoice'!$A$1:$H$46</definedName>
    <definedName name="_xlnm.Print_Area" localSheetId="1">'Estimate'!$A$1:$H$45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m d, yyyy"/>
    <numFmt numFmtId="165" formatCode="&quot;$&quot;#,##0.00"/>
    <numFmt numFmtId="166" formatCode="0.##"/>
  </numFmts>
  <fonts count="24">
    <font>
      <name val="Calibri"/>
      <family val="2"/>
      <color theme="1"/>
      <sz val="11"/>
      <scheme val="minor"/>
    </font>
    <font>
      <name val="Calibri"/>
      <b val="1"/>
      <color rgb="001F2A44"/>
      <sz val="22"/>
    </font>
    <font>
      <name val="Calibri"/>
      <b val="1"/>
      <color rgb="0027DDF5"/>
      <sz val="26"/>
    </font>
    <font>
      <name val="Calibri"/>
      <i val="1"/>
      <color rgb="006B7280"/>
      <sz val="10.5"/>
    </font>
    <font>
      <name val="Calibri"/>
      <color rgb="006B7280"/>
      <sz val="10"/>
    </font>
    <font>
      <name val="Calibri"/>
      <b val="1"/>
      <color rgb="00222831"/>
      <sz val="10.5"/>
    </font>
    <font>
      <name val="Calibri"/>
      <b val="1"/>
      <color rgb="0027DDF5"/>
      <sz val="9"/>
    </font>
    <font>
      <name val="Calibri"/>
      <b val="1"/>
      <color rgb="00222831"/>
      <sz val="11"/>
    </font>
    <font>
      <name val="Calibri"/>
      <b val="1"/>
      <color rgb="00FFFFFF"/>
      <sz val="9.5"/>
    </font>
    <font>
      <name val="Calibri"/>
      <b val="1"/>
      <color rgb="00222831"/>
      <sz val="10"/>
    </font>
    <font>
      <name val="Calibri"/>
      <color rgb="00222831"/>
      <sz val="10"/>
    </font>
    <font>
      <name val="Calibri"/>
      <color rgb="00222831"/>
      <sz val="10.5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27DDF5"/>
      <sz val="12"/>
    </font>
    <font>
      <name val="Calibri"/>
      <b val="1"/>
      <i val="1"/>
      <color rgb="001F2A44"/>
      <sz val="12"/>
    </font>
    <font>
      <name val="Calibri"/>
      <color rgb="006B7280"/>
      <sz val="9"/>
    </font>
    <font>
      <name val="Calibri"/>
      <b val="1"/>
      <color rgb="001F2A44"/>
      <sz val="18"/>
    </font>
    <font>
      <name val="Calibri"/>
      <i val="1"/>
      <color rgb="006B7280"/>
      <sz val="10"/>
    </font>
    <font>
      <name val="Calibri"/>
      <color rgb="00222831"/>
      <sz val="11"/>
    </font>
    <font>
      <b val="1"/>
      <color rgb="00FFFFFF"/>
      <sz val="16"/>
    </font>
    <font>
      <b val="1"/>
    </font>
    <font>
      <color rgb="001F6FEB"/>
      <u val="single"/>
    </font>
    <font>
      <i val="1"/>
    </font>
  </fonts>
  <fills count="7">
    <fill>
      <patternFill/>
    </fill>
    <fill>
      <patternFill patternType="gray125"/>
    </fill>
    <fill>
      <patternFill patternType="solid">
        <fgColor rgb="0027DDF5"/>
      </patternFill>
    </fill>
    <fill>
      <patternFill patternType="solid">
        <fgColor rgb="001F2A44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FFF8E8"/>
      </patternFill>
    </fill>
  </fills>
  <borders count="7">
    <border>
      <left/>
      <right/>
      <top/>
      <bottom/>
      <diagonal/>
    </border>
    <border>
      <bottom style="thin">
        <color rgb="00D9DEE7"/>
      </bottom>
    </border>
    <border>
      <bottom style="hair">
        <color rgb="00D9DEE7"/>
      </bottom>
    </border>
    <border>
      <top style="thin">
        <color rgb="00D9DEE7"/>
      </top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D9DEE7"/>
      </top>
      <bottom/>
      <diagonal/>
    </border>
    <border>
      <right/>
      <top style="thin">
        <color rgb="00D9DEE7"/>
      </top>
      <bottom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applyProtection="1" pivotButton="0" quotePrefix="0" xfId="0">
      <alignment horizontal="right"/>
      <protection locked="0" hidden="0"/>
    </xf>
    <xf numFmtId="164" fontId="5" fillId="0" borderId="0" applyAlignment="1" applyProtection="1" pivotButton="0" quotePrefix="0" xfId="0">
      <alignment horizontal="right"/>
      <protection locked="0" hidden="0"/>
    </xf>
    <xf numFmtId="164" fontId="5" fillId="0" borderId="0" applyAlignment="1" pivotButton="0" quotePrefix="0" xfId="0">
      <alignment horizontal="right"/>
    </xf>
    <xf numFmtId="165" fontId="14" fillId="0" borderId="0" applyAlignment="1" pivotButton="0" quotePrefix="0" xfId="0">
      <alignment horizontal="right"/>
    </xf>
    <xf numFmtId="0" fontId="0" fillId="0" borderId="1" pivotButton="0" quotePrefix="0" xfId="0"/>
    <xf numFmtId="0" fontId="6" fillId="0" borderId="0" pivotButton="0" quotePrefix="0" xfId="0"/>
    <xf numFmtId="0" fontId="7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8" fillId="3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4" borderId="2" applyAlignment="1" applyProtection="1" pivotButton="0" quotePrefix="0" xfId="0">
      <alignment horizontal="left" vertical="center" indent="1"/>
      <protection locked="0" hidden="0"/>
    </xf>
    <xf numFmtId="0" fontId="10" fillId="4" borderId="2" applyAlignment="1" applyProtection="1" pivotButton="0" quotePrefix="0" xfId="0">
      <alignment horizontal="left" vertical="center" indent="1"/>
      <protection locked="0" hidden="0"/>
    </xf>
    <xf numFmtId="166" fontId="10" fillId="4" borderId="2" applyAlignment="1" applyProtection="1" pivotButton="0" quotePrefix="0" xfId="0">
      <alignment horizontal="center" vertical="center"/>
      <protection locked="0" hidden="0"/>
    </xf>
    <xf numFmtId="0" fontId="10" fillId="4" borderId="2" applyAlignment="1" applyProtection="1" pivotButton="0" quotePrefix="0" xfId="0">
      <alignment horizontal="center" vertical="center"/>
      <protection locked="0" hidden="0"/>
    </xf>
    <xf numFmtId="165" fontId="10" fillId="4" borderId="2" applyAlignment="1" applyProtection="1" pivotButton="0" quotePrefix="0" xfId="0">
      <alignment horizontal="right" vertical="center"/>
      <protection locked="0" hidden="0"/>
    </xf>
    <xf numFmtId="165" fontId="9" fillId="4" borderId="2" applyAlignment="1" pivotButton="0" quotePrefix="0" xfId="0">
      <alignment horizontal="right" vertical="center"/>
    </xf>
    <xf numFmtId="0" fontId="9" fillId="5" borderId="2" applyAlignment="1" applyProtection="1" pivotButton="0" quotePrefix="0" xfId="0">
      <alignment horizontal="left" vertical="center" indent="1"/>
      <protection locked="0" hidden="0"/>
    </xf>
    <xf numFmtId="0" fontId="10" fillId="5" borderId="2" applyAlignment="1" applyProtection="1" pivotButton="0" quotePrefix="0" xfId="0">
      <alignment horizontal="left" vertical="center" indent="1"/>
      <protection locked="0" hidden="0"/>
    </xf>
    <xf numFmtId="166" fontId="10" fillId="5" borderId="2" applyAlignment="1" applyProtection="1" pivotButton="0" quotePrefix="0" xfId="0">
      <alignment horizontal="center" vertical="center"/>
      <protection locked="0" hidden="0"/>
    </xf>
    <xf numFmtId="0" fontId="10" fillId="5" borderId="2" applyAlignment="1" applyProtection="1" pivotButton="0" quotePrefix="0" xfId="0">
      <alignment horizontal="center" vertical="center"/>
      <protection locked="0" hidden="0"/>
    </xf>
    <xf numFmtId="165" fontId="10" fillId="5" borderId="2" applyAlignment="1" applyProtection="1" pivotButton="0" quotePrefix="0" xfId="0">
      <alignment horizontal="right" vertical="center"/>
      <protection locked="0" hidden="0"/>
    </xf>
    <xf numFmtId="165" fontId="9" fillId="5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top" wrapText="1"/>
    </xf>
    <xf numFmtId="165" fontId="11" fillId="0" borderId="0" applyAlignment="1" applyProtection="1" pivotButton="0" quotePrefix="0" xfId="0">
      <alignment horizontal="right" vertical="center"/>
      <protection locked="0" hidden="0"/>
    </xf>
    <xf numFmtId="0" fontId="4" fillId="0" borderId="3" applyAlignment="1" pivotButton="0" quotePrefix="0" xfId="0">
      <alignment horizontal="right" vertical="center"/>
    </xf>
    <xf numFmtId="0" fontId="0" fillId="0" borderId="3" pivotButton="0" quotePrefix="0" xfId="0"/>
    <xf numFmtId="165" fontId="5" fillId="0" borderId="3" applyAlignment="1" pivotButton="0" quotePrefix="0" xfId="0">
      <alignment horizontal="right" vertical="center"/>
    </xf>
    <xf numFmtId="0" fontId="12" fillId="2" borderId="0" applyAlignment="1" pivotButton="0" quotePrefix="0" xfId="0">
      <alignment horizontal="right" vertical="center"/>
    </xf>
    <xf numFmtId="165" fontId="13" fillId="2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  <xf numFmtId="0" fontId="8" fillId="3" borderId="0" applyAlignment="1" pivotButton="0" quotePrefix="0" xfId="0">
      <alignment horizontal="left" indent="1"/>
    </xf>
    <xf numFmtId="0" fontId="8" fillId="3" borderId="0" applyAlignment="1" pivotButton="0" quotePrefix="0" xfId="0">
      <alignment horizontal="center" indent="1"/>
    </xf>
    <xf numFmtId="0" fontId="9" fillId="4" borderId="2" applyAlignment="1" pivotButton="0" quotePrefix="0" xfId="0">
      <alignment horizontal="left" indent="1"/>
    </xf>
    <xf numFmtId="0" fontId="10" fillId="4" borderId="2" applyAlignment="1" pivotButton="0" quotePrefix="0" xfId="0">
      <alignment horizontal="left" indent="1"/>
    </xf>
    <xf numFmtId="0" fontId="10" fillId="4" borderId="2" applyAlignment="1" pivotButton="0" quotePrefix="0" xfId="0">
      <alignment horizontal="center" indent="1"/>
    </xf>
    <xf numFmtId="165" fontId="10" fillId="4" borderId="2" applyAlignment="1" pivotButton="0" quotePrefix="0" xfId="0">
      <alignment horizontal="center" indent="1"/>
    </xf>
    <xf numFmtId="0" fontId="9" fillId="5" borderId="2" applyAlignment="1" pivotButton="0" quotePrefix="0" xfId="0">
      <alignment horizontal="left" indent="1"/>
    </xf>
    <xf numFmtId="0" fontId="10" fillId="5" borderId="2" applyAlignment="1" pivotButton="0" quotePrefix="0" xfId="0">
      <alignment horizontal="left" indent="1"/>
    </xf>
    <xf numFmtId="0" fontId="10" fillId="5" borderId="2" applyAlignment="1" pivotButton="0" quotePrefix="0" xfId="0">
      <alignment horizontal="center" indent="1"/>
    </xf>
    <xf numFmtId="165" fontId="10" fillId="5" borderId="2" applyAlignment="1" pivotButton="0" quotePrefix="0" xfId="0">
      <alignment horizontal="center" indent="1"/>
    </xf>
    <xf numFmtId="0" fontId="9" fillId="0" borderId="0" applyAlignment="1" pivotButton="0" quotePrefix="0" xfId="0">
      <alignment vertical="center"/>
    </xf>
    <xf numFmtId="0" fontId="11" fillId="6" borderId="4" applyAlignment="1" pivotButton="0" quotePrefix="0" xfId="0">
      <alignment vertical="center" wrapText="1" indent="1"/>
    </xf>
    <xf numFmtId="10" fontId="11" fillId="6" borderId="4" applyAlignment="1" pivotButton="0" quotePrefix="0" xfId="0">
      <alignment vertical="center" wrapText="1" indent="1"/>
    </xf>
    <xf numFmtId="0" fontId="7" fillId="0" borderId="0" pivotButton="0" quotePrefix="0" xfId="0"/>
    <xf numFmtId="0" fontId="19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20" fillId="3" borderId="0" pivotButton="0" quotePrefix="0" xfId="0"/>
    <xf numFmtId="0" fontId="0" fillId="0" borderId="0" applyAlignment="1" pivotButton="0" quotePrefix="0" xfId="0">
      <alignment wrapText="1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4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the-fixer.org/p/car-detailing-business-kit/?from=free-xlsx" TargetMode="External" Id="rId1"/><Relationship Type="http://schemas.openxmlformats.org/officeDocument/2006/relationships/hyperlink" Target="https://the-fixer.org/p/dj-booking-kit/?from=free-xlsx" TargetMode="External" Id="rId2"/><Relationship Type="http://schemas.openxmlformats.org/officeDocument/2006/relationships/hyperlink" Target="https://the-fixer.org/p/dog-walking-business-kit/?from=free-xlsx" TargetMode="External" Id="rId3"/><Relationship Type="http://schemas.openxmlformats.org/officeDocument/2006/relationships/hyperlink" Target="https://the-fixer.org/p/house-cleaning-business-kit/?from=free-xlsx" TargetMode="External" Id="rId4"/><Relationship Type="http://schemas.openxmlformats.org/officeDocument/2006/relationships/hyperlink" Target="https://the-fixer.org/p/personal-trainer-business-kit/?from=free-xlsx" TargetMode="External" Id="rId5"/><Relationship Type="http://schemas.openxmlformats.org/officeDocument/2006/relationships/hyperlink" Target="https://the-fixer.org/p/pet-grooming-business-kit/?from=free-xlsx" TargetMode="External" Id="rId6"/><Relationship Type="http://schemas.openxmlformats.org/officeDocument/2006/relationships/hyperlink" Target="https://the-fixer.org/p/plumbing-business-kit/?from=free-xlsx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34" customWidth="1" min="3" max="3"/>
    <col width="8" customWidth="1" min="4" max="4"/>
    <col width="10" customWidth="1" min="5" max="5"/>
    <col width="13" customWidth="1" min="6" max="6"/>
    <col width="15" customWidth="1" min="7" max="7"/>
    <col width="2.5" customWidth="1" min="8" max="8"/>
  </cols>
  <sheetData>
    <row r="1" ht="7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3" ht="32" customHeight="1">
      <c r="B3" s="2">
        <f>Setup!C4</f>
        <v/>
      </c>
      <c r="E3" s="3" t="inlineStr">
        <is>
          <t>INVOICE</t>
        </is>
      </c>
    </row>
    <row r="4">
      <c r="B4" s="4">
        <f>Setup!C5</f>
        <v/>
      </c>
    </row>
    <row r="5">
      <c r="B5" s="5">
        <f>Setup!C6</f>
        <v/>
      </c>
      <c r="E5" s="6" t="inlineStr">
        <is>
          <t>Invoice No.</t>
        </is>
      </c>
      <c r="G5" s="7" t="inlineStr">
        <is>
          <t>INV-0001</t>
        </is>
      </c>
    </row>
    <row r="6">
      <c r="B6" s="5">
        <f>Setup!C7</f>
        <v/>
      </c>
      <c r="E6" s="6" t="inlineStr">
        <is>
          <t>Date</t>
        </is>
      </c>
      <c r="G6" s="8" t="n"/>
    </row>
    <row r="7">
      <c r="B7" s="5">
        <f>Setup!C8&amp;"   |   "&amp;Setup!C9</f>
        <v/>
      </c>
      <c r="E7" s="6" t="inlineStr">
        <is>
          <t>Due Date</t>
        </is>
      </c>
      <c r="G7" s="9">
        <f>IF(G6="","",G6+Setup!C13)</f>
        <v/>
      </c>
    </row>
    <row r="8">
      <c r="B8" s="5">
        <f>Setup!C10</f>
        <v/>
      </c>
      <c r="E8" s="6" t="inlineStr">
        <is>
          <t>Balance Due</t>
        </is>
      </c>
      <c r="G8" s="10">
        <f>G40</f>
        <v/>
      </c>
    </row>
    <row r="10">
      <c r="B10" s="11" t="n"/>
      <c r="C10" s="11" t="n"/>
      <c r="D10" s="11" t="n"/>
      <c r="E10" s="11" t="n"/>
      <c r="F10" s="11" t="n"/>
      <c r="G10" s="11" t="n"/>
    </row>
    <row r="11">
      <c r="B11" s="12" t="inlineStr">
        <is>
          <t>BILL TO</t>
        </is>
      </c>
      <c r="D11" s="12" t="inlineStr">
        <is>
          <t>SERVICE LOCATION</t>
        </is>
      </c>
    </row>
    <row r="12">
      <c r="B12" s="13" t="inlineStr">
        <is>
          <t>[Client Name]</t>
        </is>
      </c>
      <c r="D12" s="14" t="inlineStr">
        <is>
          <t>[Job site or project name]</t>
        </is>
      </c>
      <c r="E12" s="58" t="n"/>
      <c r="F12" s="58" t="n"/>
      <c r="G12" s="58" t="n"/>
    </row>
    <row r="13">
      <c r="B13" s="14" t="inlineStr">
        <is>
          <t>[Company]</t>
        </is>
      </c>
      <c r="D13" s="14" t="inlineStr">
        <is>
          <t>[Street Address]</t>
        </is>
      </c>
      <c r="E13" s="58" t="n"/>
      <c r="F13" s="58" t="n"/>
      <c r="G13" s="58" t="n"/>
    </row>
    <row r="14">
      <c r="B14" s="14" t="inlineStr">
        <is>
          <t>[Street Address]</t>
        </is>
      </c>
      <c r="D14" s="14" t="inlineStr">
        <is>
          <t>[City, State ZIP]</t>
        </is>
      </c>
      <c r="E14" s="58" t="n"/>
      <c r="F14" s="58" t="n"/>
      <c r="G14" s="58" t="n"/>
    </row>
    <row r="15">
      <c r="B15" s="14" t="inlineStr">
        <is>
          <t>[City, State ZIP]</t>
        </is>
      </c>
    </row>
    <row r="16">
      <c r="B16" s="14" t="inlineStr">
        <is>
          <t>[Email / Phone]</t>
        </is>
      </c>
    </row>
    <row r="18" ht="24" customHeight="1">
      <c r="B18" s="15" t="inlineStr">
        <is>
          <t>ITEM</t>
        </is>
      </c>
      <c r="C18" s="15" t="inlineStr">
        <is>
          <t>DESCRIPTION</t>
        </is>
      </c>
      <c r="D18" s="16" t="inlineStr">
        <is>
          <t>QTY</t>
        </is>
      </c>
      <c r="E18" s="16" t="inlineStr">
        <is>
          <t>UNIT</t>
        </is>
      </c>
      <c r="F18" s="17" t="inlineStr">
        <is>
          <t>RATE</t>
        </is>
      </c>
      <c r="G18" s="17" t="inlineStr">
        <is>
          <t>AMOUNT</t>
        </is>
      </c>
    </row>
    <row r="19" ht="20" customHeight="1">
      <c r="B19" s="18" t="n"/>
      <c r="C19" s="19">
        <f>IF(B19="","",IFERROR(VLOOKUP(B19,Services!$B$6:$E$40,2,FALSE)&amp;"",""))</f>
        <v/>
      </c>
      <c r="D19" s="20" t="n"/>
      <c r="E19" s="21">
        <f>IF(B19="","",IFERROR(VLOOKUP(B19,Services!$B$6:$E$40,3,FALSE)&amp;"",""))</f>
        <v/>
      </c>
      <c r="F19" s="22">
        <f>IF(B19="","",IFERROR(IF(VLOOKUP(B19,Services!$B$6:$E$40,4,FALSE)="","",VLOOKUP(B19,Services!$B$6:$E$40,4,FALSE)),""))</f>
        <v/>
      </c>
      <c r="G19" s="23">
        <f>IF(OR(D19="",F19=""),"",D19*F19)</f>
        <v/>
      </c>
    </row>
    <row r="20" ht="20" customHeight="1">
      <c r="B20" s="24" t="n"/>
      <c r="C20" s="25">
        <f>IF(B20="","",IFERROR(VLOOKUP(B20,Services!$B$6:$E$40,2,FALSE)&amp;"",""))</f>
        <v/>
      </c>
      <c r="D20" s="26" t="n"/>
      <c r="E20" s="27">
        <f>IF(B20="","",IFERROR(VLOOKUP(B20,Services!$B$6:$E$40,3,FALSE)&amp;"",""))</f>
        <v/>
      </c>
      <c r="F20" s="28">
        <f>IF(B20="","",IFERROR(IF(VLOOKUP(B20,Services!$B$6:$E$40,4,FALSE)="","",VLOOKUP(B20,Services!$B$6:$E$40,4,FALSE)),""))</f>
        <v/>
      </c>
      <c r="G20" s="29">
        <f>IF(OR(D20="",F20=""),"",D20*F20)</f>
        <v/>
      </c>
    </row>
    <row r="21" ht="20" customHeight="1">
      <c r="B21" s="18" t="n"/>
      <c r="C21" s="19">
        <f>IF(B21="","",IFERROR(VLOOKUP(B21,Services!$B$6:$E$40,2,FALSE)&amp;"",""))</f>
        <v/>
      </c>
      <c r="D21" s="20" t="n"/>
      <c r="E21" s="21">
        <f>IF(B21="","",IFERROR(VLOOKUP(B21,Services!$B$6:$E$40,3,FALSE)&amp;"",""))</f>
        <v/>
      </c>
      <c r="F21" s="22">
        <f>IF(B21="","",IFERROR(IF(VLOOKUP(B21,Services!$B$6:$E$40,4,FALSE)="","",VLOOKUP(B21,Services!$B$6:$E$40,4,FALSE)),""))</f>
        <v/>
      </c>
      <c r="G21" s="23">
        <f>IF(OR(D21="",F21=""),"",D21*F21)</f>
        <v/>
      </c>
    </row>
    <row r="22" ht="20" customHeight="1">
      <c r="B22" s="24" t="n"/>
      <c r="C22" s="25">
        <f>IF(B22="","",IFERROR(VLOOKUP(B22,Services!$B$6:$E$40,2,FALSE)&amp;"",""))</f>
        <v/>
      </c>
      <c r="D22" s="26" t="n"/>
      <c r="E22" s="27">
        <f>IF(B22="","",IFERROR(VLOOKUP(B22,Services!$B$6:$E$40,3,FALSE)&amp;"",""))</f>
        <v/>
      </c>
      <c r="F22" s="28">
        <f>IF(B22="","",IFERROR(IF(VLOOKUP(B22,Services!$B$6:$E$40,4,FALSE)="","",VLOOKUP(B22,Services!$B$6:$E$40,4,FALSE)),""))</f>
        <v/>
      </c>
      <c r="G22" s="29">
        <f>IF(OR(D22="",F22=""),"",D22*F22)</f>
        <v/>
      </c>
    </row>
    <row r="23" ht="20" customHeight="1">
      <c r="B23" s="18" t="n"/>
      <c r="C23" s="19">
        <f>IF(B23="","",IFERROR(VLOOKUP(B23,Services!$B$6:$E$40,2,FALSE)&amp;"",""))</f>
        <v/>
      </c>
      <c r="D23" s="20" t="n"/>
      <c r="E23" s="21">
        <f>IF(B23="","",IFERROR(VLOOKUP(B23,Services!$B$6:$E$40,3,FALSE)&amp;"",""))</f>
        <v/>
      </c>
      <c r="F23" s="22">
        <f>IF(B23="","",IFERROR(IF(VLOOKUP(B23,Services!$B$6:$E$40,4,FALSE)="","",VLOOKUP(B23,Services!$B$6:$E$40,4,FALSE)),""))</f>
        <v/>
      </c>
      <c r="G23" s="23">
        <f>IF(OR(D23="",F23=""),"",D23*F23)</f>
        <v/>
      </c>
    </row>
    <row r="24" ht="20" customHeight="1">
      <c r="B24" s="24" t="n"/>
      <c r="C24" s="25">
        <f>IF(B24="","",IFERROR(VLOOKUP(B24,Services!$B$6:$E$40,2,FALSE)&amp;"",""))</f>
        <v/>
      </c>
      <c r="D24" s="26" t="n"/>
      <c r="E24" s="27">
        <f>IF(B24="","",IFERROR(VLOOKUP(B24,Services!$B$6:$E$40,3,FALSE)&amp;"",""))</f>
        <v/>
      </c>
      <c r="F24" s="28">
        <f>IF(B24="","",IFERROR(IF(VLOOKUP(B24,Services!$B$6:$E$40,4,FALSE)="","",VLOOKUP(B24,Services!$B$6:$E$40,4,FALSE)),""))</f>
        <v/>
      </c>
      <c r="G24" s="29">
        <f>IF(OR(D24="",F24=""),"",D24*F24)</f>
        <v/>
      </c>
    </row>
    <row r="25" ht="20" customHeight="1">
      <c r="B25" s="18" t="n"/>
      <c r="C25" s="19">
        <f>IF(B25="","",IFERROR(VLOOKUP(B25,Services!$B$6:$E$40,2,FALSE)&amp;"",""))</f>
        <v/>
      </c>
      <c r="D25" s="20" t="n"/>
      <c r="E25" s="21">
        <f>IF(B25="","",IFERROR(VLOOKUP(B25,Services!$B$6:$E$40,3,FALSE)&amp;"",""))</f>
        <v/>
      </c>
      <c r="F25" s="22">
        <f>IF(B25="","",IFERROR(IF(VLOOKUP(B25,Services!$B$6:$E$40,4,FALSE)="","",VLOOKUP(B25,Services!$B$6:$E$40,4,FALSE)),""))</f>
        <v/>
      </c>
      <c r="G25" s="23">
        <f>IF(OR(D25="",F25=""),"",D25*F25)</f>
        <v/>
      </c>
    </row>
    <row r="26" ht="20" customHeight="1">
      <c r="B26" s="24" t="n"/>
      <c r="C26" s="25">
        <f>IF(B26="","",IFERROR(VLOOKUP(B26,Services!$B$6:$E$40,2,FALSE)&amp;"",""))</f>
        <v/>
      </c>
      <c r="D26" s="26" t="n"/>
      <c r="E26" s="27">
        <f>IF(B26="","",IFERROR(VLOOKUP(B26,Services!$B$6:$E$40,3,FALSE)&amp;"",""))</f>
        <v/>
      </c>
      <c r="F26" s="28">
        <f>IF(B26="","",IFERROR(IF(VLOOKUP(B26,Services!$B$6:$E$40,4,FALSE)="","",VLOOKUP(B26,Services!$B$6:$E$40,4,FALSE)),""))</f>
        <v/>
      </c>
      <c r="G26" s="29">
        <f>IF(OR(D26="",F26=""),"",D26*F26)</f>
        <v/>
      </c>
    </row>
    <row r="27" ht="20" customHeight="1">
      <c r="B27" s="18" t="n"/>
      <c r="C27" s="19">
        <f>IF(B27="","",IFERROR(VLOOKUP(B27,Services!$B$6:$E$40,2,FALSE)&amp;"",""))</f>
        <v/>
      </c>
      <c r="D27" s="20" t="n"/>
      <c r="E27" s="21">
        <f>IF(B27="","",IFERROR(VLOOKUP(B27,Services!$B$6:$E$40,3,FALSE)&amp;"",""))</f>
        <v/>
      </c>
      <c r="F27" s="22">
        <f>IF(B27="","",IFERROR(IF(VLOOKUP(B27,Services!$B$6:$E$40,4,FALSE)="","",VLOOKUP(B27,Services!$B$6:$E$40,4,FALSE)),""))</f>
        <v/>
      </c>
      <c r="G27" s="23">
        <f>IF(OR(D27="",F27=""),"",D27*F27)</f>
        <v/>
      </c>
    </row>
    <row r="28" ht="20" customHeight="1">
      <c r="B28" s="24" t="n"/>
      <c r="C28" s="25">
        <f>IF(B28="","",IFERROR(VLOOKUP(B28,Services!$B$6:$E$40,2,FALSE)&amp;"",""))</f>
        <v/>
      </c>
      <c r="D28" s="26" t="n"/>
      <c r="E28" s="27">
        <f>IF(B28="","",IFERROR(VLOOKUP(B28,Services!$B$6:$E$40,3,FALSE)&amp;"",""))</f>
        <v/>
      </c>
      <c r="F28" s="28">
        <f>IF(B28="","",IFERROR(IF(VLOOKUP(B28,Services!$B$6:$E$40,4,FALSE)="","",VLOOKUP(B28,Services!$B$6:$E$40,4,FALSE)),""))</f>
        <v/>
      </c>
      <c r="G28" s="29">
        <f>IF(OR(D28="",F28=""),"",D28*F28)</f>
        <v/>
      </c>
    </row>
    <row r="29" ht="20" customHeight="1">
      <c r="B29" s="18" t="n"/>
      <c r="C29" s="19">
        <f>IF(B29="","",IFERROR(VLOOKUP(B29,Services!$B$6:$E$40,2,FALSE)&amp;"",""))</f>
        <v/>
      </c>
      <c r="D29" s="20" t="n"/>
      <c r="E29" s="21">
        <f>IF(B29="","",IFERROR(VLOOKUP(B29,Services!$B$6:$E$40,3,FALSE)&amp;"",""))</f>
        <v/>
      </c>
      <c r="F29" s="22">
        <f>IF(B29="","",IFERROR(IF(VLOOKUP(B29,Services!$B$6:$E$40,4,FALSE)="","",VLOOKUP(B29,Services!$B$6:$E$40,4,FALSE)),""))</f>
        <v/>
      </c>
      <c r="G29" s="23">
        <f>IF(OR(D29="",F29=""),"",D29*F29)</f>
        <v/>
      </c>
    </row>
    <row r="30" ht="20" customHeight="1">
      <c r="B30" s="24" t="n"/>
      <c r="C30" s="25">
        <f>IF(B30="","",IFERROR(VLOOKUP(B30,Services!$B$6:$E$40,2,FALSE)&amp;"",""))</f>
        <v/>
      </c>
      <c r="D30" s="26" t="n"/>
      <c r="E30" s="27">
        <f>IF(B30="","",IFERROR(VLOOKUP(B30,Services!$B$6:$E$40,3,FALSE)&amp;"",""))</f>
        <v/>
      </c>
      <c r="F30" s="28">
        <f>IF(B30="","",IFERROR(IF(VLOOKUP(B30,Services!$B$6:$E$40,4,FALSE)="","",VLOOKUP(B30,Services!$B$6:$E$40,4,FALSE)),""))</f>
        <v/>
      </c>
      <c r="G30" s="29">
        <f>IF(OR(D30="",F30=""),"",D30*F30)</f>
        <v/>
      </c>
    </row>
    <row r="31" ht="20" customHeight="1">
      <c r="B31" s="18" t="n"/>
      <c r="C31" s="19">
        <f>IF(B31="","",IFERROR(VLOOKUP(B31,Services!$B$6:$E$40,2,FALSE)&amp;"",""))</f>
        <v/>
      </c>
      <c r="D31" s="20" t="n"/>
      <c r="E31" s="21">
        <f>IF(B31="","",IFERROR(VLOOKUP(B31,Services!$B$6:$E$40,3,FALSE)&amp;"",""))</f>
        <v/>
      </c>
      <c r="F31" s="22">
        <f>IF(B31="","",IFERROR(IF(VLOOKUP(B31,Services!$B$6:$E$40,4,FALSE)="","",VLOOKUP(B31,Services!$B$6:$E$40,4,FALSE)),""))</f>
        <v/>
      </c>
      <c r="G31" s="23">
        <f>IF(OR(D31="",F31=""),"",D31*F31)</f>
        <v/>
      </c>
    </row>
    <row r="32" ht="20" customHeight="1">
      <c r="B32" s="24" t="n"/>
      <c r="C32" s="25">
        <f>IF(B32="","",IFERROR(VLOOKUP(B32,Services!$B$6:$E$40,2,FALSE)&amp;"",""))</f>
        <v/>
      </c>
      <c r="D32" s="26" t="n"/>
      <c r="E32" s="27">
        <f>IF(B32="","",IFERROR(VLOOKUP(B32,Services!$B$6:$E$40,3,FALSE)&amp;"",""))</f>
        <v/>
      </c>
      <c r="F32" s="28">
        <f>IF(B32="","",IFERROR(IF(VLOOKUP(B32,Services!$B$6:$E$40,4,FALSE)="","",VLOOKUP(B32,Services!$B$6:$E$40,4,FALSE)),""))</f>
        <v/>
      </c>
      <c r="G32" s="29">
        <f>IF(OR(D32="",F32=""),"",D32*F32)</f>
        <v/>
      </c>
    </row>
    <row r="33" ht="20" customHeight="1">
      <c r="B33" s="18" t="n"/>
      <c r="C33" s="19">
        <f>IF(B33="","",IFERROR(VLOOKUP(B33,Services!$B$6:$E$40,2,FALSE)&amp;"",""))</f>
        <v/>
      </c>
      <c r="D33" s="20" t="n"/>
      <c r="E33" s="21">
        <f>IF(B33="","",IFERROR(VLOOKUP(B33,Services!$B$6:$E$40,3,FALSE)&amp;"",""))</f>
        <v/>
      </c>
      <c r="F33" s="22">
        <f>IF(B33="","",IFERROR(IF(VLOOKUP(B33,Services!$B$6:$E$40,4,FALSE)="","",VLOOKUP(B33,Services!$B$6:$E$40,4,FALSE)),""))</f>
        <v/>
      </c>
      <c r="G33" s="23">
        <f>IF(OR(D33="",F33=""),"",D33*F33)</f>
        <v/>
      </c>
    </row>
    <row r="35" ht="19" customHeight="1">
      <c r="B35" s="12" t="inlineStr">
        <is>
          <t>PAYMENT DETAILS</t>
        </is>
      </c>
      <c r="E35" s="30" t="inlineStr">
        <is>
          <t>Subtotal</t>
        </is>
      </c>
      <c r="G35" s="31">
        <f>SUM(G19:G33)</f>
        <v/>
      </c>
    </row>
    <row r="36" ht="19" customHeight="1">
      <c r="B36" s="32">
        <f>Setup!C14</f>
        <v/>
      </c>
      <c r="E36" s="30" t="inlineStr">
        <is>
          <t>Discount</t>
        </is>
      </c>
      <c r="G36" s="33" t="n">
        <v>0</v>
      </c>
    </row>
    <row r="37" ht="19" customHeight="1">
      <c r="E37" s="30">
        <f>"Tax ("&amp;TEXT(Setup!C12,"0.0#%")&amp;")"</f>
        <v/>
      </c>
      <c r="G37" s="31">
        <f>ROUND((G35-G36)*Setup!C12,2)</f>
        <v/>
      </c>
    </row>
    <row r="38" ht="19" customHeight="1">
      <c r="E38" s="65" t="inlineStr">
        <is>
          <t>Total</t>
        </is>
      </c>
      <c r="F38" s="59" t="n"/>
      <c r="G38" s="36">
        <f>G35-G36+G37</f>
        <v/>
      </c>
    </row>
    <row r="39" ht="19" customHeight="1">
      <c r="E39" s="30" t="inlineStr">
        <is>
          <t>Amount Paid</t>
        </is>
      </c>
      <c r="G39" s="33" t="n">
        <v>0</v>
      </c>
    </row>
    <row r="40" ht="28" customHeight="1">
      <c r="E40" s="37" t="inlineStr">
        <is>
          <t>BALANCE DUE</t>
        </is>
      </c>
      <c r="G40" s="38">
        <f>G38-G39</f>
        <v/>
      </c>
    </row>
    <row r="43">
      <c r="B43" s="39">
        <f>Setup!C15</f>
        <v/>
      </c>
    </row>
    <row r="44">
      <c r="B44" s="40">
        <f>"Questions? "&amp;Setup!C8&amp;"   |   "&amp;Setup!C9</f>
        <v/>
      </c>
    </row>
    <row r="46" ht="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7">
    <mergeCell ref="E35:F35"/>
    <mergeCell ref="E6:F6"/>
    <mergeCell ref="E38:F38"/>
    <mergeCell ref="D12:G12"/>
    <mergeCell ref="E7:F7"/>
    <mergeCell ref="B44:G44"/>
    <mergeCell ref="E5:F5"/>
    <mergeCell ref="E37:F37"/>
    <mergeCell ref="E36:F36"/>
    <mergeCell ref="B43:G43"/>
    <mergeCell ref="E3:G3"/>
    <mergeCell ref="D13:G13"/>
    <mergeCell ref="E40:F40"/>
    <mergeCell ref="B36:C39"/>
    <mergeCell ref="E39:F39"/>
    <mergeCell ref="E8:F8"/>
    <mergeCell ref="D14:G14"/>
  </mergeCells>
  <dataValidations count="1">
    <dataValidation sqref="B19 B20 B21 B22 B23 B24 B25 B26 B27 B28 B29 B30 B31 B32 B33" showDropDown="0" showInputMessage="1" showErrorMessage="0" allowBlank="1" promptTitle="Choose a service" prompt="Pick from your Services price list, or type your own item." type="list">
      <formula1>Services!$B$6:$B$40</formula1>
    </dataValidation>
  </dataValidations>
  <printOptions horizontalCentered="1"/>
  <pageMargins left="0.4" right="0.4" top="0.45" bottom="0.45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34" customWidth="1" min="3" max="3"/>
    <col width="8" customWidth="1" min="4" max="4"/>
    <col width="10" customWidth="1" min="5" max="5"/>
    <col width="13" customWidth="1" min="6" max="6"/>
    <col width="15" customWidth="1" min="7" max="7"/>
    <col width="2.5" customWidth="1" min="8" max="8"/>
  </cols>
  <sheetData>
    <row r="1" ht="7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3" ht="32" customHeight="1">
      <c r="B3" s="2">
        <f>Setup!C4</f>
        <v/>
      </c>
      <c r="E3" s="3" t="inlineStr">
        <is>
          <t>ESTIMATE</t>
        </is>
      </c>
    </row>
    <row r="4">
      <c r="B4" s="4">
        <f>Setup!C5</f>
        <v/>
      </c>
    </row>
    <row r="5">
      <c r="B5" s="5">
        <f>Setup!C6</f>
        <v/>
      </c>
      <c r="E5" s="6" t="inlineStr">
        <is>
          <t>Estimate No.</t>
        </is>
      </c>
      <c r="G5" s="7" t="inlineStr">
        <is>
          <t>EST-0001</t>
        </is>
      </c>
    </row>
    <row r="6">
      <c r="B6" s="5">
        <f>Setup!C7</f>
        <v/>
      </c>
      <c r="E6" s="6" t="inlineStr">
        <is>
          <t>Date</t>
        </is>
      </c>
      <c r="G6" s="8" t="n"/>
    </row>
    <row r="7">
      <c r="B7" s="5">
        <f>Setup!C8&amp;"   |   "&amp;Setup!C9</f>
        <v/>
      </c>
      <c r="E7" s="6" t="inlineStr">
        <is>
          <t>Valid Until</t>
        </is>
      </c>
      <c r="G7" s="9">
        <f>IF(G6="","",G6+Setup!C16)</f>
        <v/>
      </c>
    </row>
    <row r="8">
      <c r="B8" s="5">
        <f>Setup!C10</f>
        <v/>
      </c>
      <c r="E8" s="6" t="inlineStr">
        <is>
          <t>Estimate Total</t>
        </is>
      </c>
      <c r="G8" s="10">
        <f>G39</f>
        <v/>
      </c>
    </row>
    <row r="10">
      <c r="B10" s="11" t="n"/>
      <c r="C10" s="11" t="n"/>
      <c r="D10" s="11" t="n"/>
      <c r="E10" s="11" t="n"/>
      <c r="F10" s="11" t="n"/>
      <c r="G10" s="11" t="n"/>
    </row>
    <row r="11">
      <c r="B11" s="12" t="inlineStr">
        <is>
          <t>BILL TO</t>
        </is>
      </c>
      <c r="D11" s="12" t="inlineStr">
        <is>
          <t>PROJECT / LOCATION</t>
        </is>
      </c>
    </row>
    <row r="12">
      <c r="B12" s="13" t="inlineStr">
        <is>
          <t>[Client Name]</t>
        </is>
      </c>
      <c r="D12" s="14" t="inlineStr">
        <is>
          <t>[Job site or project name]</t>
        </is>
      </c>
      <c r="E12" s="58" t="n"/>
      <c r="F12" s="58" t="n"/>
      <c r="G12" s="58" t="n"/>
    </row>
    <row r="13">
      <c r="B13" s="14" t="inlineStr">
        <is>
          <t>[Company]</t>
        </is>
      </c>
      <c r="D13" s="14" t="inlineStr">
        <is>
          <t>[Street Address]</t>
        </is>
      </c>
      <c r="E13" s="58" t="n"/>
      <c r="F13" s="58" t="n"/>
      <c r="G13" s="58" t="n"/>
    </row>
    <row r="14">
      <c r="B14" s="14" t="inlineStr">
        <is>
          <t>[Street Address]</t>
        </is>
      </c>
      <c r="D14" s="14" t="inlineStr">
        <is>
          <t>[City, State ZIP]</t>
        </is>
      </c>
      <c r="E14" s="58" t="n"/>
      <c r="F14" s="58" t="n"/>
      <c r="G14" s="58" t="n"/>
    </row>
    <row r="15">
      <c r="B15" s="14" t="inlineStr">
        <is>
          <t>[City, State ZIP]</t>
        </is>
      </c>
    </row>
    <row r="16">
      <c r="B16" s="14" t="inlineStr">
        <is>
          <t>[Email / Phone]</t>
        </is>
      </c>
    </row>
    <row r="18" ht="24" customHeight="1">
      <c r="B18" s="15" t="inlineStr">
        <is>
          <t>ITEM</t>
        </is>
      </c>
      <c r="C18" s="15" t="inlineStr">
        <is>
          <t>DESCRIPTION</t>
        </is>
      </c>
      <c r="D18" s="16" t="inlineStr">
        <is>
          <t>QTY</t>
        </is>
      </c>
      <c r="E18" s="16" t="inlineStr">
        <is>
          <t>UNIT</t>
        </is>
      </c>
      <c r="F18" s="17" t="inlineStr">
        <is>
          <t>RATE</t>
        </is>
      </c>
      <c r="G18" s="17" t="inlineStr">
        <is>
          <t>AMOUNT</t>
        </is>
      </c>
    </row>
    <row r="19" ht="20" customHeight="1">
      <c r="B19" s="18" t="n"/>
      <c r="C19" s="19">
        <f>IF(B19="","",IFERROR(VLOOKUP(B19,Services!$B$6:$E$40,2,FALSE)&amp;"",""))</f>
        <v/>
      </c>
      <c r="D19" s="20" t="n"/>
      <c r="E19" s="21">
        <f>IF(B19="","",IFERROR(VLOOKUP(B19,Services!$B$6:$E$40,3,FALSE)&amp;"",""))</f>
        <v/>
      </c>
      <c r="F19" s="22">
        <f>IF(B19="","",IFERROR(IF(VLOOKUP(B19,Services!$B$6:$E$40,4,FALSE)="","",VLOOKUP(B19,Services!$B$6:$E$40,4,FALSE)),""))</f>
        <v/>
      </c>
      <c r="G19" s="23">
        <f>IF(OR(D19="",F19=""),"",D19*F19)</f>
        <v/>
      </c>
    </row>
    <row r="20" ht="20" customHeight="1">
      <c r="B20" s="24" t="n"/>
      <c r="C20" s="25">
        <f>IF(B20="","",IFERROR(VLOOKUP(B20,Services!$B$6:$E$40,2,FALSE)&amp;"",""))</f>
        <v/>
      </c>
      <c r="D20" s="26" t="n"/>
      <c r="E20" s="27">
        <f>IF(B20="","",IFERROR(VLOOKUP(B20,Services!$B$6:$E$40,3,FALSE)&amp;"",""))</f>
        <v/>
      </c>
      <c r="F20" s="28">
        <f>IF(B20="","",IFERROR(IF(VLOOKUP(B20,Services!$B$6:$E$40,4,FALSE)="","",VLOOKUP(B20,Services!$B$6:$E$40,4,FALSE)),""))</f>
        <v/>
      </c>
      <c r="G20" s="29">
        <f>IF(OR(D20="",F20=""),"",D20*F20)</f>
        <v/>
      </c>
    </row>
    <row r="21" ht="20" customHeight="1">
      <c r="B21" s="18" t="n"/>
      <c r="C21" s="19">
        <f>IF(B21="","",IFERROR(VLOOKUP(B21,Services!$B$6:$E$40,2,FALSE)&amp;"",""))</f>
        <v/>
      </c>
      <c r="D21" s="20" t="n"/>
      <c r="E21" s="21">
        <f>IF(B21="","",IFERROR(VLOOKUP(B21,Services!$B$6:$E$40,3,FALSE)&amp;"",""))</f>
        <v/>
      </c>
      <c r="F21" s="22">
        <f>IF(B21="","",IFERROR(IF(VLOOKUP(B21,Services!$B$6:$E$40,4,FALSE)="","",VLOOKUP(B21,Services!$B$6:$E$40,4,FALSE)),""))</f>
        <v/>
      </c>
      <c r="G21" s="23">
        <f>IF(OR(D21="",F21=""),"",D21*F21)</f>
        <v/>
      </c>
    </row>
    <row r="22" ht="20" customHeight="1">
      <c r="B22" s="24" t="n"/>
      <c r="C22" s="25">
        <f>IF(B22="","",IFERROR(VLOOKUP(B22,Services!$B$6:$E$40,2,FALSE)&amp;"",""))</f>
        <v/>
      </c>
      <c r="D22" s="26" t="n"/>
      <c r="E22" s="27">
        <f>IF(B22="","",IFERROR(VLOOKUP(B22,Services!$B$6:$E$40,3,FALSE)&amp;"",""))</f>
        <v/>
      </c>
      <c r="F22" s="28">
        <f>IF(B22="","",IFERROR(IF(VLOOKUP(B22,Services!$B$6:$E$40,4,FALSE)="","",VLOOKUP(B22,Services!$B$6:$E$40,4,FALSE)),""))</f>
        <v/>
      </c>
      <c r="G22" s="29">
        <f>IF(OR(D22="",F22=""),"",D22*F22)</f>
        <v/>
      </c>
    </row>
    <row r="23" ht="20" customHeight="1">
      <c r="B23" s="18" t="n"/>
      <c r="C23" s="19">
        <f>IF(B23="","",IFERROR(VLOOKUP(B23,Services!$B$6:$E$40,2,FALSE)&amp;"",""))</f>
        <v/>
      </c>
      <c r="D23" s="20" t="n"/>
      <c r="E23" s="21">
        <f>IF(B23="","",IFERROR(VLOOKUP(B23,Services!$B$6:$E$40,3,FALSE)&amp;"",""))</f>
        <v/>
      </c>
      <c r="F23" s="22">
        <f>IF(B23="","",IFERROR(IF(VLOOKUP(B23,Services!$B$6:$E$40,4,FALSE)="","",VLOOKUP(B23,Services!$B$6:$E$40,4,FALSE)),""))</f>
        <v/>
      </c>
      <c r="G23" s="23">
        <f>IF(OR(D23="",F23=""),"",D23*F23)</f>
        <v/>
      </c>
    </row>
    <row r="24" ht="20" customHeight="1">
      <c r="B24" s="24" t="n"/>
      <c r="C24" s="25">
        <f>IF(B24="","",IFERROR(VLOOKUP(B24,Services!$B$6:$E$40,2,FALSE)&amp;"",""))</f>
        <v/>
      </c>
      <c r="D24" s="26" t="n"/>
      <c r="E24" s="27">
        <f>IF(B24="","",IFERROR(VLOOKUP(B24,Services!$B$6:$E$40,3,FALSE)&amp;"",""))</f>
        <v/>
      </c>
      <c r="F24" s="28">
        <f>IF(B24="","",IFERROR(IF(VLOOKUP(B24,Services!$B$6:$E$40,4,FALSE)="","",VLOOKUP(B24,Services!$B$6:$E$40,4,FALSE)),""))</f>
        <v/>
      </c>
      <c r="G24" s="29">
        <f>IF(OR(D24="",F24=""),"",D24*F24)</f>
        <v/>
      </c>
    </row>
    <row r="25" ht="20" customHeight="1">
      <c r="B25" s="18" t="n"/>
      <c r="C25" s="19">
        <f>IF(B25="","",IFERROR(VLOOKUP(B25,Services!$B$6:$E$40,2,FALSE)&amp;"",""))</f>
        <v/>
      </c>
      <c r="D25" s="20" t="n"/>
      <c r="E25" s="21">
        <f>IF(B25="","",IFERROR(VLOOKUP(B25,Services!$B$6:$E$40,3,FALSE)&amp;"",""))</f>
        <v/>
      </c>
      <c r="F25" s="22">
        <f>IF(B25="","",IFERROR(IF(VLOOKUP(B25,Services!$B$6:$E$40,4,FALSE)="","",VLOOKUP(B25,Services!$B$6:$E$40,4,FALSE)),""))</f>
        <v/>
      </c>
      <c r="G25" s="23">
        <f>IF(OR(D25="",F25=""),"",D25*F25)</f>
        <v/>
      </c>
    </row>
    <row r="26" ht="20" customHeight="1">
      <c r="B26" s="24" t="n"/>
      <c r="C26" s="25">
        <f>IF(B26="","",IFERROR(VLOOKUP(B26,Services!$B$6:$E$40,2,FALSE)&amp;"",""))</f>
        <v/>
      </c>
      <c r="D26" s="26" t="n"/>
      <c r="E26" s="27">
        <f>IF(B26="","",IFERROR(VLOOKUP(B26,Services!$B$6:$E$40,3,FALSE)&amp;"",""))</f>
        <v/>
      </c>
      <c r="F26" s="28">
        <f>IF(B26="","",IFERROR(IF(VLOOKUP(B26,Services!$B$6:$E$40,4,FALSE)="","",VLOOKUP(B26,Services!$B$6:$E$40,4,FALSE)),""))</f>
        <v/>
      </c>
      <c r="G26" s="29">
        <f>IF(OR(D26="",F26=""),"",D26*F26)</f>
        <v/>
      </c>
    </row>
    <row r="27" ht="20" customHeight="1">
      <c r="B27" s="18" t="n"/>
      <c r="C27" s="19">
        <f>IF(B27="","",IFERROR(VLOOKUP(B27,Services!$B$6:$E$40,2,FALSE)&amp;"",""))</f>
        <v/>
      </c>
      <c r="D27" s="20" t="n"/>
      <c r="E27" s="21">
        <f>IF(B27="","",IFERROR(VLOOKUP(B27,Services!$B$6:$E$40,3,FALSE)&amp;"",""))</f>
        <v/>
      </c>
      <c r="F27" s="22">
        <f>IF(B27="","",IFERROR(IF(VLOOKUP(B27,Services!$B$6:$E$40,4,FALSE)="","",VLOOKUP(B27,Services!$B$6:$E$40,4,FALSE)),""))</f>
        <v/>
      </c>
      <c r="G27" s="23">
        <f>IF(OR(D27="",F27=""),"",D27*F27)</f>
        <v/>
      </c>
    </row>
    <row r="28" ht="20" customHeight="1">
      <c r="B28" s="24" t="n"/>
      <c r="C28" s="25">
        <f>IF(B28="","",IFERROR(VLOOKUP(B28,Services!$B$6:$E$40,2,FALSE)&amp;"",""))</f>
        <v/>
      </c>
      <c r="D28" s="26" t="n"/>
      <c r="E28" s="27">
        <f>IF(B28="","",IFERROR(VLOOKUP(B28,Services!$B$6:$E$40,3,FALSE)&amp;"",""))</f>
        <v/>
      </c>
      <c r="F28" s="28">
        <f>IF(B28="","",IFERROR(IF(VLOOKUP(B28,Services!$B$6:$E$40,4,FALSE)="","",VLOOKUP(B28,Services!$B$6:$E$40,4,FALSE)),""))</f>
        <v/>
      </c>
      <c r="G28" s="29">
        <f>IF(OR(D28="",F28=""),"",D28*F28)</f>
        <v/>
      </c>
    </row>
    <row r="29" ht="20" customHeight="1">
      <c r="B29" s="18" t="n"/>
      <c r="C29" s="19">
        <f>IF(B29="","",IFERROR(VLOOKUP(B29,Services!$B$6:$E$40,2,FALSE)&amp;"",""))</f>
        <v/>
      </c>
      <c r="D29" s="20" t="n"/>
      <c r="E29" s="21">
        <f>IF(B29="","",IFERROR(VLOOKUP(B29,Services!$B$6:$E$40,3,FALSE)&amp;"",""))</f>
        <v/>
      </c>
      <c r="F29" s="22">
        <f>IF(B29="","",IFERROR(IF(VLOOKUP(B29,Services!$B$6:$E$40,4,FALSE)="","",VLOOKUP(B29,Services!$B$6:$E$40,4,FALSE)),""))</f>
        <v/>
      </c>
      <c r="G29" s="23">
        <f>IF(OR(D29="",F29=""),"",D29*F29)</f>
        <v/>
      </c>
    </row>
    <row r="30" ht="20" customHeight="1">
      <c r="B30" s="24" t="n"/>
      <c r="C30" s="25">
        <f>IF(B30="","",IFERROR(VLOOKUP(B30,Services!$B$6:$E$40,2,FALSE)&amp;"",""))</f>
        <v/>
      </c>
      <c r="D30" s="26" t="n"/>
      <c r="E30" s="27">
        <f>IF(B30="","",IFERROR(VLOOKUP(B30,Services!$B$6:$E$40,3,FALSE)&amp;"",""))</f>
        <v/>
      </c>
      <c r="F30" s="28">
        <f>IF(B30="","",IFERROR(IF(VLOOKUP(B30,Services!$B$6:$E$40,4,FALSE)="","",VLOOKUP(B30,Services!$B$6:$E$40,4,FALSE)),""))</f>
        <v/>
      </c>
      <c r="G30" s="29">
        <f>IF(OR(D30="",F30=""),"",D30*F30)</f>
        <v/>
      </c>
    </row>
    <row r="31" ht="20" customHeight="1">
      <c r="B31" s="18" t="n"/>
      <c r="C31" s="19">
        <f>IF(B31="","",IFERROR(VLOOKUP(B31,Services!$B$6:$E$40,2,FALSE)&amp;"",""))</f>
        <v/>
      </c>
      <c r="D31" s="20" t="n"/>
      <c r="E31" s="21">
        <f>IF(B31="","",IFERROR(VLOOKUP(B31,Services!$B$6:$E$40,3,FALSE)&amp;"",""))</f>
        <v/>
      </c>
      <c r="F31" s="22">
        <f>IF(B31="","",IFERROR(IF(VLOOKUP(B31,Services!$B$6:$E$40,4,FALSE)="","",VLOOKUP(B31,Services!$B$6:$E$40,4,FALSE)),""))</f>
        <v/>
      </c>
      <c r="G31" s="23">
        <f>IF(OR(D31="",F31=""),"",D31*F31)</f>
        <v/>
      </c>
    </row>
    <row r="32" ht="20" customHeight="1">
      <c r="B32" s="24" t="n"/>
      <c r="C32" s="25">
        <f>IF(B32="","",IFERROR(VLOOKUP(B32,Services!$B$6:$E$40,2,FALSE)&amp;"",""))</f>
        <v/>
      </c>
      <c r="D32" s="26" t="n"/>
      <c r="E32" s="27">
        <f>IF(B32="","",IFERROR(VLOOKUP(B32,Services!$B$6:$E$40,3,FALSE)&amp;"",""))</f>
        <v/>
      </c>
      <c r="F32" s="28">
        <f>IF(B32="","",IFERROR(IF(VLOOKUP(B32,Services!$B$6:$E$40,4,FALSE)="","",VLOOKUP(B32,Services!$B$6:$E$40,4,FALSE)),""))</f>
        <v/>
      </c>
      <c r="G32" s="29">
        <f>IF(OR(D32="",F32=""),"",D32*F32)</f>
        <v/>
      </c>
    </row>
    <row r="33" ht="20" customHeight="1">
      <c r="B33" s="18" t="n"/>
      <c r="C33" s="19">
        <f>IF(B33="","",IFERROR(VLOOKUP(B33,Services!$B$6:$E$40,2,FALSE)&amp;"",""))</f>
        <v/>
      </c>
      <c r="D33" s="20" t="n"/>
      <c r="E33" s="21">
        <f>IF(B33="","",IFERROR(VLOOKUP(B33,Services!$B$6:$E$40,3,FALSE)&amp;"",""))</f>
        <v/>
      </c>
      <c r="F33" s="22">
        <f>IF(B33="","",IFERROR(IF(VLOOKUP(B33,Services!$B$6:$E$40,4,FALSE)="","",VLOOKUP(B33,Services!$B$6:$E$40,4,FALSE)),""))</f>
        <v/>
      </c>
      <c r="G33" s="23">
        <f>IF(OR(D33="",F33=""),"",D33*F33)</f>
        <v/>
      </c>
    </row>
    <row r="35" ht="19" customHeight="1">
      <c r="B35" s="12" t="inlineStr">
        <is>
          <t>TERMS</t>
        </is>
      </c>
      <c r="E35" s="30" t="inlineStr">
        <is>
          <t>Subtotal</t>
        </is>
      </c>
      <c r="G35" s="31">
        <f>SUM(G19:G33)</f>
        <v/>
      </c>
    </row>
    <row r="36" ht="19" customHeight="1">
      <c r="B36" s="32">
        <f>Setup!C17</f>
        <v/>
      </c>
      <c r="E36" s="30" t="inlineStr">
        <is>
          <t>Discount</t>
        </is>
      </c>
      <c r="G36" s="33" t="n">
        <v>0</v>
      </c>
    </row>
    <row r="37" ht="19" customHeight="1">
      <c r="E37" s="30">
        <f>"Tax ("&amp;TEXT(Setup!C12,"0.0#%")&amp;")"</f>
        <v/>
      </c>
      <c r="G37" s="31">
        <f>ROUND((G35-G36)*Setup!C12,2)</f>
        <v/>
      </c>
    </row>
    <row r="38" ht="19" customHeight="1">
      <c r="E38" s="65" t="inlineStr">
        <is>
          <t>Total</t>
        </is>
      </c>
      <c r="F38" s="59" t="n"/>
      <c r="G38" s="36">
        <f>G35-G36+G37</f>
        <v/>
      </c>
    </row>
    <row r="39" ht="28" customHeight="1">
      <c r="E39" s="37" t="inlineStr">
        <is>
          <t>ESTIMATE TOTAL</t>
        </is>
      </c>
      <c r="G39" s="38">
        <f>G38</f>
        <v/>
      </c>
    </row>
    <row r="42">
      <c r="B42" s="39">
        <f>Setup!C15</f>
        <v/>
      </c>
    </row>
    <row r="43">
      <c r="B43" s="40">
        <f>"Questions? "&amp;Setup!C8&amp;"   |   "&amp;Setup!C9</f>
        <v/>
      </c>
    </row>
    <row r="45" ht="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6">
    <mergeCell ref="E35:F35"/>
    <mergeCell ref="E6:F6"/>
    <mergeCell ref="E38:F38"/>
    <mergeCell ref="B42:G42"/>
    <mergeCell ref="E7:F7"/>
    <mergeCell ref="D12:G12"/>
    <mergeCell ref="E5:F5"/>
    <mergeCell ref="E37:F37"/>
    <mergeCell ref="E36:F36"/>
    <mergeCell ref="B43:G43"/>
    <mergeCell ref="E3:G3"/>
    <mergeCell ref="D13:G13"/>
    <mergeCell ref="B36:C39"/>
    <mergeCell ref="E39:F39"/>
    <mergeCell ref="E8:F8"/>
    <mergeCell ref="D14:G14"/>
  </mergeCells>
  <dataValidations count="1">
    <dataValidation sqref="B19 B20 B21 B22 B23 B24 B25 B26 B27 B28 B29 B30 B31 B32 B33" showDropDown="0" showInputMessage="1" showErrorMessage="0" allowBlank="1" promptTitle="Choose a service" prompt="Pick from your Services price list, or type your own item." type="list">
      <formula1>Services!$B$6:$B$40</formula1>
    </dataValidation>
  </dataValidations>
  <printOptions horizontalCentered="1"/>
  <pageMargins left="0.4" right="0.4" top="0.45" bottom="0.45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4" customWidth="1" min="2" max="2"/>
    <col width="46" customWidth="1" min="3" max="3"/>
    <col width="12" customWidth="1" min="4" max="4"/>
    <col width="14" customWidth="1" min="5" max="5"/>
    <col width="2.5" customWidth="1" min="6" max="6"/>
  </cols>
  <sheetData>
    <row r="2">
      <c r="B2" s="41" t="inlineStr">
        <is>
          <t>Services &amp; Prices</t>
        </is>
      </c>
    </row>
    <row r="3">
      <c r="B3" s="42" t="inlineStr">
        <is>
          <t>Fill in your prices once. Items you add here appear in the Item dropdown on the Invoice and Estimate.</t>
        </is>
      </c>
    </row>
    <row r="5">
      <c r="B5" s="43" t="inlineStr">
        <is>
          <t>SERVICE</t>
        </is>
      </c>
      <c r="C5" s="43" t="inlineStr">
        <is>
          <t>DESCRIPTION (OPTIONAL)</t>
        </is>
      </c>
      <c r="D5" s="44" t="inlineStr">
        <is>
          <t>UNIT</t>
        </is>
      </c>
      <c r="E5" s="44" t="inlineStr">
        <is>
          <t>RATE</t>
        </is>
      </c>
    </row>
    <row r="6">
      <c r="B6" s="45" t="inlineStr">
        <is>
          <t>Consultation</t>
        </is>
      </c>
      <c r="C6" s="46" t="n"/>
      <c r="D6" s="47" t="inlineStr">
        <is>
          <t>each</t>
        </is>
      </c>
      <c r="E6" s="48" t="n"/>
    </row>
    <row r="7">
      <c r="B7" s="49" t="inlineStr">
        <is>
          <t>Standard service</t>
        </is>
      </c>
      <c r="C7" s="50" t="n"/>
      <c r="D7" s="51" t="inlineStr">
        <is>
          <t>each</t>
        </is>
      </c>
      <c r="E7" s="52" t="n"/>
    </row>
    <row r="8">
      <c r="B8" s="45" t="inlineStr">
        <is>
          <t>Additional hour</t>
        </is>
      </c>
      <c r="C8" s="46" t="n"/>
      <c r="D8" s="47" t="inlineStr">
        <is>
          <t>hour</t>
        </is>
      </c>
      <c r="E8" s="48" t="n"/>
    </row>
    <row r="9">
      <c r="B9" s="49" t="inlineStr">
        <is>
          <t>Materials</t>
        </is>
      </c>
      <c r="C9" s="50" t="n"/>
      <c r="D9" s="51" t="inlineStr">
        <is>
          <t>each</t>
        </is>
      </c>
      <c r="E9" s="52" t="n"/>
    </row>
    <row r="10">
      <c r="B10" s="45" t="inlineStr">
        <is>
          <t>Travel / call-out fee</t>
        </is>
      </c>
      <c r="C10" s="46" t="n"/>
      <c r="D10" s="47" t="inlineStr">
        <is>
          <t>each</t>
        </is>
      </c>
      <c r="E10" s="48" t="n"/>
    </row>
    <row r="11">
      <c r="B11" s="49" t="inlineStr">
        <is>
          <t>Rush service</t>
        </is>
      </c>
      <c r="C11" s="50" t="n"/>
      <c r="D11" s="51" t="inlineStr">
        <is>
          <t>each</t>
        </is>
      </c>
      <c r="E11" s="52" t="n"/>
    </row>
    <row r="12">
      <c r="B12" s="45" t="n"/>
      <c r="C12" s="46" t="n"/>
      <c r="D12" s="47" t="n"/>
      <c r="E12" s="48" t="n"/>
    </row>
    <row r="13">
      <c r="B13" s="49" t="n"/>
      <c r="C13" s="50" t="n"/>
      <c r="D13" s="51" t="n"/>
      <c r="E13" s="52" t="n"/>
    </row>
    <row r="14">
      <c r="B14" s="45" t="n"/>
      <c r="C14" s="46" t="n"/>
      <c r="D14" s="47" t="n"/>
      <c r="E14" s="48" t="n"/>
    </row>
    <row r="15">
      <c r="B15" s="49" t="n"/>
      <c r="C15" s="50" t="n"/>
      <c r="D15" s="51" t="n"/>
      <c r="E15" s="52" t="n"/>
    </row>
    <row r="16">
      <c r="B16" s="45" t="n"/>
      <c r="C16" s="46" t="n"/>
      <c r="D16" s="47" t="n"/>
      <c r="E16" s="48" t="n"/>
    </row>
    <row r="17">
      <c r="B17" s="49" t="n"/>
      <c r="C17" s="50" t="n"/>
      <c r="D17" s="51" t="n"/>
      <c r="E17" s="52" t="n"/>
    </row>
    <row r="18">
      <c r="B18" s="45" t="n"/>
      <c r="C18" s="46" t="n"/>
      <c r="D18" s="47" t="n"/>
      <c r="E18" s="48" t="n"/>
    </row>
    <row r="19">
      <c r="B19" s="49" t="n"/>
      <c r="C19" s="50" t="n"/>
      <c r="D19" s="51" t="n"/>
      <c r="E19" s="52" t="n"/>
    </row>
    <row r="20">
      <c r="B20" s="45" t="n"/>
      <c r="C20" s="46" t="n"/>
      <c r="D20" s="47" t="n"/>
      <c r="E20" s="48" t="n"/>
    </row>
    <row r="21">
      <c r="B21" s="49" t="n"/>
      <c r="C21" s="50" t="n"/>
      <c r="D21" s="51" t="n"/>
      <c r="E21" s="52" t="n"/>
    </row>
    <row r="22">
      <c r="B22" s="45" t="n"/>
      <c r="C22" s="46" t="n"/>
      <c r="D22" s="47" t="n"/>
      <c r="E22" s="48" t="n"/>
    </row>
    <row r="23">
      <c r="B23" s="49" t="n"/>
      <c r="C23" s="50" t="n"/>
      <c r="D23" s="51" t="n"/>
      <c r="E23" s="52" t="n"/>
    </row>
    <row r="24">
      <c r="B24" s="45" t="n"/>
      <c r="C24" s="46" t="n"/>
      <c r="D24" s="47" t="n"/>
      <c r="E24" s="48" t="n"/>
    </row>
    <row r="25">
      <c r="B25" s="49" t="n"/>
      <c r="C25" s="50" t="n"/>
      <c r="D25" s="51" t="n"/>
      <c r="E25" s="52" t="n"/>
    </row>
    <row r="26">
      <c r="B26" s="45" t="n"/>
      <c r="C26" s="46" t="n"/>
      <c r="D26" s="47" t="n"/>
      <c r="E26" s="48" t="n"/>
    </row>
    <row r="27">
      <c r="B27" s="49" t="n"/>
      <c r="C27" s="50" t="n"/>
      <c r="D27" s="51" t="n"/>
      <c r="E27" s="52" t="n"/>
    </row>
    <row r="28">
      <c r="B28" s="45" t="n"/>
      <c r="C28" s="46" t="n"/>
      <c r="D28" s="47" t="n"/>
      <c r="E28" s="48" t="n"/>
    </row>
    <row r="29">
      <c r="B29" s="49" t="n"/>
      <c r="C29" s="50" t="n"/>
      <c r="D29" s="51" t="n"/>
      <c r="E29" s="52" t="n"/>
    </row>
    <row r="30">
      <c r="B30" s="45" t="n"/>
      <c r="C30" s="46" t="n"/>
      <c r="D30" s="47" t="n"/>
      <c r="E30" s="48" t="n"/>
    </row>
    <row r="31">
      <c r="B31" s="49" t="n"/>
      <c r="C31" s="50" t="n"/>
      <c r="D31" s="51" t="n"/>
      <c r="E31" s="52" t="n"/>
    </row>
    <row r="32">
      <c r="B32" s="45" t="n"/>
      <c r="C32" s="46" t="n"/>
      <c r="D32" s="47" t="n"/>
      <c r="E32" s="48" t="n"/>
    </row>
    <row r="33">
      <c r="B33" s="49" t="n"/>
      <c r="C33" s="50" t="n"/>
      <c r="D33" s="51" t="n"/>
      <c r="E33" s="52" t="n"/>
    </row>
    <row r="34">
      <c r="B34" s="45" t="n"/>
      <c r="C34" s="46" t="n"/>
      <c r="D34" s="47" t="n"/>
      <c r="E34" s="48" t="n"/>
    </row>
    <row r="35">
      <c r="B35" s="49" t="n"/>
      <c r="C35" s="50" t="n"/>
      <c r="D35" s="51" t="n"/>
      <c r="E35" s="52" t="n"/>
    </row>
    <row r="36">
      <c r="B36" s="45" t="n"/>
      <c r="C36" s="46" t="n"/>
      <c r="D36" s="47" t="n"/>
      <c r="E36" s="48" t="n"/>
    </row>
    <row r="37">
      <c r="B37" s="49" t="n"/>
      <c r="C37" s="50" t="n"/>
      <c r="D37" s="51" t="n"/>
      <c r="E37" s="52" t="n"/>
    </row>
    <row r="38">
      <c r="B38" s="45" t="n"/>
      <c r="C38" s="46" t="n"/>
      <c r="D38" s="47" t="n"/>
      <c r="E38" s="48" t="n"/>
    </row>
    <row r="39">
      <c r="B39" s="49" t="n"/>
      <c r="C39" s="50" t="n"/>
      <c r="D39" s="51" t="n"/>
      <c r="E39" s="52" t="n"/>
    </row>
    <row r="40">
      <c r="B40" s="45" t="n"/>
      <c r="C40" s="46" t="n"/>
      <c r="D40" s="47" t="n"/>
      <c r="E40" s="4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52" customWidth="1" min="3" max="3"/>
    <col width="2.5" customWidth="1" min="4" max="4"/>
  </cols>
  <sheetData>
    <row r="2">
      <c r="B2" s="41" t="inlineStr">
        <is>
          <t>Setup - enter once</t>
        </is>
      </c>
    </row>
    <row r="3">
      <c r="B3" s="42" t="inlineStr">
        <is>
          <t>Everything here flows into the Invoice and Estimate automatically.</t>
        </is>
      </c>
    </row>
    <row r="4" ht="22" customHeight="1">
      <c r="B4" s="53" t="inlineStr">
        <is>
          <t>Business name</t>
        </is>
      </c>
      <c r="C4" s="54" t="inlineStr">
        <is>
          <t>[Your Business Name]</t>
        </is>
      </c>
    </row>
    <row r="5" ht="22" customHeight="1">
      <c r="B5" s="53" t="inlineStr">
        <is>
          <t>Tagline</t>
        </is>
      </c>
      <c r="C5" s="54" t="inlineStr">
        <is>
          <t>[Your tagline]</t>
        </is>
      </c>
    </row>
    <row r="6" ht="22" customHeight="1">
      <c r="B6" s="53" t="inlineStr">
        <is>
          <t>Address line 1</t>
        </is>
      </c>
      <c r="C6" s="54" t="inlineStr">
        <is>
          <t>[Street Address]</t>
        </is>
      </c>
    </row>
    <row r="7" ht="22" customHeight="1">
      <c r="B7" s="53" t="inlineStr">
        <is>
          <t>Address line 2</t>
        </is>
      </c>
      <c r="C7" s="54" t="inlineStr">
        <is>
          <t>[City, State ZIP]</t>
        </is>
      </c>
    </row>
    <row r="8" ht="22" customHeight="1">
      <c r="B8" s="53" t="inlineStr">
        <is>
          <t>Phone</t>
        </is>
      </c>
      <c r="C8" s="54" t="inlineStr">
        <is>
          <t>[Phone]</t>
        </is>
      </c>
    </row>
    <row r="9" ht="22" customHeight="1">
      <c r="B9" s="53" t="inlineStr">
        <is>
          <t>Email</t>
        </is>
      </c>
      <c r="C9" s="54" t="inlineStr">
        <is>
          <t>[Email]</t>
        </is>
      </c>
    </row>
    <row r="10" ht="22" customHeight="1">
      <c r="B10" s="53" t="inlineStr">
        <is>
          <t>Website</t>
        </is>
      </c>
      <c r="C10" s="54" t="inlineStr">
        <is>
          <t>[Website]</t>
        </is>
      </c>
    </row>
    <row r="11">
      <c r="B11" s="12" t="inlineStr">
        <is>
          <t>TAX &amp; TERMS</t>
        </is>
      </c>
    </row>
    <row r="12" ht="22" customHeight="1">
      <c r="B12" s="53" t="inlineStr">
        <is>
          <t>Tax rate</t>
        </is>
      </c>
      <c r="C12" s="55" t="n">
        <v>0</v>
      </c>
    </row>
    <row r="13" ht="22" customHeight="1">
      <c r="B13" s="53" t="inlineStr">
        <is>
          <t>Payment terms (days)</t>
        </is>
      </c>
      <c r="C13" s="54" t="n">
        <v>14</v>
      </c>
    </row>
    <row r="14" ht="36" customHeight="1">
      <c r="B14" s="53" t="inlineStr">
        <is>
          <t>Payment details</t>
        </is>
      </c>
      <c r="C14" s="54" t="inlineStr">
        <is>
          <t>[How to pay: bank transfer, card, check, payment link]</t>
        </is>
      </c>
    </row>
    <row r="15" ht="22" customHeight="1">
      <c r="B15" s="53" t="inlineStr">
        <is>
          <t>Thank-you note</t>
        </is>
      </c>
      <c r="C15" s="54" t="inlineStr">
        <is>
          <t>Thank you for your business!</t>
        </is>
      </c>
    </row>
    <row r="16" ht="22" customHeight="1">
      <c r="B16" s="53" t="inlineStr">
        <is>
          <t>Estimate valid for (days)</t>
        </is>
      </c>
      <c r="C16" s="54" t="n">
        <v>30</v>
      </c>
    </row>
    <row r="17" ht="36" customHeight="1">
      <c r="B17" s="53" t="inlineStr">
        <is>
          <t>Estimate terms</t>
        </is>
      </c>
      <c r="C17" s="54" t="inlineStr">
        <is>
          <t>[Estimate terms, for example a deposit to book]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00" customWidth="1" min="2" max="2"/>
  </cols>
  <sheetData>
    <row r="2">
      <c r="B2" s="41" t="inlineStr">
        <is>
          <t>How to use this template</t>
        </is>
      </c>
    </row>
    <row r="4" ht="20" customHeight="1">
      <c r="B4" s="56" t="inlineStr">
        <is>
          <t>1. Setup: enter your business details, tax rate and terms once.</t>
        </is>
      </c>
    </row>
    <row r="5" ht="20" customHeight="1">
      <c r="B5" s="56" t="inlineStr">
        <is>
          <t>2. Services: enter your prices. Add more services in the empty rows.</t>
        </is>
      </c>
    </row>
    <row r="6" ht="20" customHeight="1">
      <c r="B6" s="56" t="inlineStr">
        <is>
          <t>3. Invoice: pick each Item from the dropdown. Description, unit and rate fill in; type a quantity.</t>
        </is>
      </c>
    </row>
    <row r="7" ht="20" customHeight="1">
      <c r="B7" s="57" t="inlineStr">
        <is>
          <t xml:space="preserve">   For a one-off item, type it in the Item cell and type its rate.</t>
        </is>
      </c>
    </row>
    <row r="8" ht="20" customHeight="1">
      <c r="B8" s="56" t="inlineStr">
        <is>
          <t>4. Enter the invoice number, the date, the client and any discount or amount already paid.</t>
        </is>
      </c>
    </row>
    <row r="9" ht="20" customHeight="1">
      <c r="B9" s="57" t="inlineStr">
        <is>
          <t xml:space="preserve">   Due date, tax, total and balance due calculate automatically.</t>
        </is>
      </c>
    </row>
    <row r="10" ht="20" customHeight="1">
      <c r="B10" s="56" t="inlineStr">
        <is>
          <t>5. Estimate: works the same way, with a valid-until date and your estimate terms.</t>
        </is>
      </c>
    </row>
    <row r="11" ht="20" customHeight="1">
      <c r="B11" s="56" t="inlineStr">
        <is>
          <t>6. Print or save as PDF (File &gt; Print, or File &gt; Download &gt; PDF in Google Sheets). The page is set to fit one sheet.</t>
        </is>
      </c>
    </row>
    <row r="12" ht="20" customHeight="1">
      <c r="B12" s="57" t="inlineStr">
        <is>
          <t>Duplicate the Invoice tab for each new invoice, or save a copy of the file per client.</t>
        </is>
      </c>
    </row>
    <row r="13" ht="20" customHeight="1">
      <c r="B13" s="57" t="inlineStr">
        <is>
          <t>Formula cells are protected so they are not overwritten by accident. To change them: Review &gt; Unprotect Sheet (no password).</t>
        </is>
      </c>
    </row>
    <row r="14" ht="20" customHeight="1">
      <c r="B14" s="57" t="inlineStr">
        <is>
          <t>Currency: select the money cells and choose your currency under Format Cells / Format &gt; Number.</t>
        </is>
      </c>
    </row>
    <row r="15" ht="20" customHeight="1">
      <c r="B15" s="57" t="inlineStr">
        <is>
          <t>Works in Microsoft Excel, Google Sheets, Apple Numbers and LibreOffice. This is a template, not tax, legal or accounting advice.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60" customWidth="1" min="3" max="3"/>
  </cols>
  <sheetData>
    <row r="1" ht="30" customHeight="1">
      <c r="A1" s="60" t="inlineStr">
        <is>
          <t>Want this ready-made for your trade?</t>
        </is>
      </c>
    </row>
    <row r="2" ht="34" customHeight="1">
      <c r="A2" s="61" t="inlineStr">
        <is>
          <t>Each kit comes with your trade's services already filled in, an estimate tab and fillable PDFs; most also include 8 matching social media posts.</t>
        </is>
      </c>
    </row>
    <row r="4">
      <c r="A4" s="62" t="inlineStr">
        <is>
          <t>Business kit</t>
        </is>
      </c>
      <c r="B4" s="62" t="inlineStr">
        <is>
          <t>Price</t>
        </is>
      </c>
      <c r="C4" s="62" t="inlineStr">
        <is>
          <t>Link</t>
        </is>
      </c>
    </row>
    <row r="5">
      <c r="A5" t="inlineStr">
        <is>
          <t>Car Detailing Business Kit</t>
        </is>
      </c>
      <c r="B5" t="inlineStr">
        <is>
          <t>$9.99</t>
        </is>
      </c>
      <c r="C5" s="63" t="inlineStr">
        <is>
          <t>https://the-fixer.org/p/car-detailing-business-kit/?from=free-xlsx</t>
        </is>
      </c>
    </row>
    <row r="6">
      <c r="A6" t="inlineStr">
        <is>
          <t>DJ Booking Kit</t>
        </is>
      </c>
      <c r="B6" t="inlineStr">
        <is>
          <t>$9.99</t>
        </is>
      </c>
      <c r="C6" s="63" t="inlineStr">
        <is>
          <t>https://the-fixer.org/p/dj-booking-kit/?from=free-xlsx</t>
        </is>
      </c>
    </row>
    <row r="7">
      <c r="A7" t="inlineStr">
        <is>
          <t>Dog Walking Business Kit</t>
        </is>
      </c>
      <c r="B7" t="inlineStr">
        <is>
          <t>$9.99</t>
        </is>
      </c>
      <c r="C7" s="63" t="inlineStr">
        <is>
          <t>https://the-fixer.org/p/dog-walking-business-kit/?from=free-xlsx</t>
        </is>
      </c>
    </row>
    <row r="8">
      <c r="A8" t="inlineStr">
        <is>
          <t>House Cleaning Business Kit</t>
        </is>
      </c>
      <c r="B8" t="inlineStr">
        <is>
          <t>$9.99</t>
        </is>
      </c>
      <c r="C8" s="63" t="inlineStr">
        <is>
          <t>https://the-fixer.org/p/house-cleaning-business-kit/?from=free-xlsx</t>
        </is>
      </c>
    </row>
    <row r="9">
      <c r="A9" t="inlineStr">
        <is>
          <t>Personal Trainer Business Kit</t>
        </is>
      </c>
      <c r="B9" t="inlineStr">
        <is>
          <t>$9.99</t>
        </is>
      </c>
      <c r="C9" s="63" t="inlineStr">
        <is>
          <t>https://the-fixer.org/p/personal-trainer-business-kit/?from=free-xlsx</t>
        </is>
      </c>
    </row>
    <row r="10">
      <c r="A10" t="inlineStr">
        <is>
          <t>Pet Grooming Business Kit</t>
        </is>
      </c>
      <c r="B10" t="inlineStr">
        <is>
          <t>$9.99</t>
        </is>
      </c>
      <c r="C10" s="63" t="inlineStr">
        <is>
          <t>https://the-fixer.org/p/pet-grooming-business-kit/?from=free-xlsx</t>
        </is>
      </c>
    </row>
    <row r="11">
      <c r="A11" t="inlineStr">
        <is>
          <t>Plumbing Business Kit</t>
        </is>
      </c>
      <c r="B11" t="inlineStr">
        <is>
          <t>$9.99</t>
        </is>
      </c>
      <c r="C11" s="63" t="inlineStr">
        <is>
          <t>https://the-fixer.org/p/plumbing-business-kit/?from=free-xlsx</t>
        </is>
      </c>
    </row>
    <row r="13">
      <c r="A13" s="64" t="inlineStr">
        <is>
          <t>Every template: https://the-fixer.org</t>
        </is>
      </c>
    </row>
  </sheetData>
  <mergeCells count="2">
    <mergeCell ref="A1:C1"/>
    <mergeCell ref="A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2026-10-19T14:39:45Z</dcterms:created>
  <dcterms:modified xmlns:dcterms="http://purl.org/dc/terms/" xmlns:xsi="http://www.w3.org/2001/XMLSchema-instance" xsi:type="dcterms:W3CDTF">2026-10-30T02:14:41Z</dcterms:modified>
</cp:coreProperties>
</file>